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alber/Documents/GitHub/Augmented-Reality-Aruco/runs/detect/train/"/>
    </mc:Choice>
  </mc:AlternateContent>
  <xr:revisionPtr revIDLastSave="0" documentId="13_ncr:1_{C1613C1E-DDBA-2341-BE69-FF41E3E25DB1}" xr6:coauthVersionLast="47" xr6:coauthVersionMax="47" xr10:uidLastSave="{00000000-0000-0000-0000-000000000000}"/>
  <bookViews>
    <workbookView xWindow="28800" yWindow="-3600" windowWidth="38400" windowHeight="21600" xr2:uid="{08223E7F-93D5-244D-ACEE-54AE777CC0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I23" i="1"/>
  <c r="I24" i="1"/>
  <c r="I16" i="1"/>
  <c r="I17" i="1"/>
  <c r="H16" i="1"/>
  <c r="J16" i="1"/>
  <c r="K16" i="1" s="1"/>
  <c r="H17" i="1"/>
  <c r="J17" i="1"/>
  <c r="K17" i="1" s="1"/>
  <c r="H18" i="1"/>
  <c r="J18" i="1"/>
  <c r="K18" i="1"/>
  <c r="L18" i="1"/>
  <c r="N10" i="1"/>
  <c r="L28" i="1"/>
  <c r="C25" i="1"/>
  <c r="J25" i="1" s="1"/>
  <c r="K25" i="1" s="1"/>
  <c r="K19" i="1"/>
  <c r="K20" i="1"/>
  <c r="K21" i="1"/>
  <c r="K22" i="1"/>
  <c r="K23" i="1"/>
  <c r="J19" i="1"/>
  <c r="J20" i="1"/>
  <c r="J21" i="1"/>
  <c r="J22" i="1"/>
  <c r="J23" i="1"/>
  <c r="J24" i="1"/>
  <c r="K24" i="1" s="1"/>
  <c r="L19" i="1"/>
  <c r="L20" i="1"/>
  <c r="L21" i="1"/>
  <c r="L22" i="1"/>
  <c r="L23" i="1"/>
  <c r="H19" i="1"/>
  <c r="H20" i="1"/>
  <c r="H21" i="1"/>
  <c r="H22" i="1"/>
  <c r="H23" i="1"/>
  <c r="H24" i="1"/>
  <c r="H25" i="1"/>
  <c r="I25" i="1"/>
  <c r="E6" i="1"/>
  <c r="E5" i="1"/>
  <c r="F5" i="1"/>
  <c r="L16" i="1" l="1"/>
  <c r="L17" i="1"/>
  <c r="L24" i="1"/>
  <c r="L25" i="1"/>
  <c r="G5" i="1"/>
  <c r="L27" i="1" l="1"/>
  <c r="L29" i="1" s="1"/>
</calcChain>
</file>

<file path=xl/sharedStrings.xml><?xml version="1.0" encoding="utf-8"?>
<sst xmlns="http://schemas.openxmlformats.org/spreadsheetml/2006/main" count="50" uniqueCount="39">
  <si>
    <t>Freie Mittel:</t>
  </si>
  <si>
    <t>Forschungsteile</t>
  </si>
  <si>
    <t>Messtyp</t>
  </si>
  <si>
    <t>Kosten</t>
  </si>
  <si>
    <t>Name</t>
  </si>
  <si>
    <t>Beschreibung</t>
  </si>
  <si>
    <t>Zuhause sein ohne Valides Outfit.</t>
  </si>
  <si>
    <t>h</t>
  </si>
  <si>
    <t>Zuhause sein ohne Valides Schuhwerk.</t>
  </si>
  <si>
    <t>Einfach Zuhause</t>
  </si>
  <si>
    <t>OhneOutfit</t>
  </si>
  <si>
    <t>OhneSchuhe</t>
  </si>
  <si>
    <t>InOutfit</t>
  </si>
  <si>
    <t>InUntersuchung</t>
  </si>
  <si>
    <t>InTrainung</t>
  </si>
  <si>
    <t>In Untersuchung</t>
  </si>
  <si>
    <t>Im Training</t>
  </si>
  <si>
    <t>Ausrüstungstyp</t>
  </si>
  <si>
    <t>Ausrüstungsname</t>
  </si>
  <si>
    <t>Plug</t>
  </si>
  <si>
    <t>Schuh</t>
  </si>
  <si>
    <t>Betonschuh an P</t>
  </si>
  <si>
    <t>Schuh an P</t>
  </si>
  <si>
    <t>1,2,3</t>
  </si>
  <si>
    <t>BetonSSchuh an P</t>
  </si>
  <si>
    <t>Datum</t>
  </si>
  <si>
    <t>Art</t>
  </si>
  <si>
    <t>Begin</t>
  </si>
  <si>
    <t>Ende</t>
  </si>
  <si>
    <t>Ausrüstung</t>
  </si>
  <si>
    <t>Dauer</t>
  </si>
  <si>
    <t>Spalte1</t>
  </si>
  <si>
    <t>Gesamt:</t>
  </si>
  <si>
    <t>#</t>
  </si>
  <si>
    <t>Schuhe</t>
  </si>
  <si>
    <t>Schuh auf K</t>
  </si>
  <si>
    <t>MaxProTag</t>
  </si>
  <si>
    <t>Resultat</t>
  </si>
  <si>
    <t>Sschuhe auf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</si>
</sst>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$&quot;_-;\-* #,##0.00\ &quot;$&quot;_-;_-* &quot;-&quot;??\ &quot;$&quot;_-;_-@_-"/>
    <numFmt numFmtId="164" formatCode="_-* #,##0.00\ [$€-407]_-;\-* #,##0.00\ [$€-407]_-;_-* &quot;-&quot;??\ [$€-407]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  <xf numFmtId="14" fontId="0" fillId="0" borderId="0" xfId="0" applyNumberFormat="1"/>
    <xf numFmtId="20" fontId="0" fillId="0" borderId="0" xfId="0" applyNumberFormat="1"/>
    <xf numFmtId="164" fontId="0" fillId="0" borderId="0" xfId="1" applyNumberFormat="1" applyFont="1"/>
    <xf numFmtId="46" fontId="0" fillId="0" borderId="0" xfId="0" applyNumberFormat="1"/>
    <xf numFmtId="164" fontId="2" fillId="0" borderId="0" xfId="0" applyNumberFormat="1" applyFont="1"/>
  </cellXfs>
  <cellStyles count="2">
    <cellStyle name="Standard" xfId="0" builtinId="0"/>
    <cellStyle name="Währung" xfId="1" builtinId="4"/>
  </cellStyles>
  <dxfs count="1">
    <dxf>
      <numFmt numFmtId="164" formatCode="_-* #,##0.00\ [$€-407]_-;\-* #,##0.00\ [$€-407]_-;_-* &quot;-&quot;??\ [$€-407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1C7B1-3775-7643-8B38-B4E0ECE92FCF}" name="Tabelle1" displayName="Tabelle1" ref="H4:L11" totalsRowShown="0">
  <autoFilter ref="H4:L11" xr:uid="{9501C7B1-3775-7643-8B38-B4E0ECE92FCF}"/>
  <tableColumns count="5">
    <tableColumn id="1" xr3:uid="{5C33C612-2AF4-C443-BF56-A07EA2EFBDD8}" name="Spalte1"/>
    <tableColumn id="2" xr3:uid="{63337892-6255-1F4E-94B5-AA46A8B9F3E1}" name="Ausrüstungstyp"/>
    <tableColumn id="3" xr3:uid="{FD18410E-B400-9242-84D1-58BB12C791CC}" name="Ausrüstungsname"/>
    <tableColumn id="4" xr3:uid="{435A86B1-F1C8-1F43-A198-B80AE767100C}" name="Forschungsteile"/>
    <tableColumn id="5" xr3:uid="{BD745A2B-DCB6-0E47-93F1-FFF6B0DD3EBB}" name="Koste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5D04E-14F2-DB42-A74B-DEF1441639DF}" name="Tabelle2" displayName="Tabelle2" ref="A4:E9" totalsRowShown="0">
  <autoFilter ref="A4:E9" xr:uid="{9BE5D04E-14F2-DB42-A74B-DEF1441639DF}"/>
  <tableColumns count="5">
    <tableColumn id="1" xr3:uid="{929B6348-E157-7A42-86AD-1DA55E955784}" name="Spalte1"/>
    <tableColumn id="2" xr3:uid="{056190B8-836E-3A4D-94BB-DF3257D3CE17}" name="Name"/>
    <tableColumn id="3" xr3:uid="{C0C44720-13BB-1C4F-B41A-B6C63886E8BB}" name="Beschreibung"/>
    <tableColumn id="4" xr3:uid="{02101D57-7F6D-094F-959B-CC17F62AC678}" name="Messtyp"/>
    <tableColumn id="5" xr3:uid="{327B88B0-6B31-A94B-AC75-DC4E69B77C3E}" name="Koste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3457-4E9B-A34C-8E75-1F215A964EFB}">
  <dimension ref="A1:N29"/>
  <sheetViews>
    <sheetView tabSelected="1" workbookViewId="0">
      <selection activeCell="C24" sqref="C24"/>
    </sheetView>
  </sheetViews>
  <sheetFormatPr baseColWidth="10" defaultRowHeight="16" x14ac:dyDescent="0.2"/>
  <cols>
    <col min="1" max="1" width="17.1640625" bestFit="1" customWidth="1"/>
    <col min="2" max="2" width="28.1640625" bestFit="1" customWidth="1"/>
    <col min="3" max="3" width="14.5" customWidth="1"/>
    <col min="9" max="9" width="15.6640625" customWidth="1"/>
    <col min="10" max="10" width="17.6640625" customWidth="1"/>
    <col min="11" max="11" width="16.33203125" customWidth="1"/>
  </cols>
  <sheetData>
    <row r="1" spans="1:14" x14ac:dyDescent="0.2">
      <c r="A1" t="s">
        <v>0</v>
      </c>
      <c r="B1" s="1">
        <v>600</v>
      </c>
      <c r="C1">
        <v>30</v>
      </c>
    </row>
    <row r="3" spans="1:14" x14ac:dyDescent="0.2">
      <c r="B3" t="s">
        <v>1</v>
      </c>
    </row>
    <row r="4" spans="1:14" x14ac:dyDescent="0.2">
      <c r="A4" t="s">
        <v>31</v>
      </c>
      <c r="B4" t="s">
        <v>4</v>
      </c>
      <c r="C4" t="s">
        <v>5</v>
      </c>
      <c r="D4" t="s">
        <v>2</v>
      </c>
      <c r="E4" t="s">
        <v>3</v>
      </c>
      <c r="H4" t="s">
        <v>31</v>
      </c>
      <c r="I4" t="s">
        <v>17</v>
      </c>
      <c r="J4" t="s">
        <v>18</v>
      </c>
      <c r="K4" t="s">
        <v>1</v>
      </c>
      <c r="L4" t="s">
        <v>3</v>
      </c>
    </row>
    <row r="5" spans="1:14" x14ac:dyDescent="0.2">
      <c r="A5">
        <v>1</v>
      </c>
      <c r="B5" t="s">
        <v>10</v>
      </c>
      <c r="C5" t="s">
        <v>6</v>
      </c>
      <c r="D5" t="s">
        <v>7</v>
      </c>
      <c r="E5" s="1">
        <f>-2.5</f>
        <v>-2.5</v>
      </c>
      <c r="F5">
        <f>30*24</f>
        <v>720</v>
      </c>
      <c r="G5" s="1">
        <f>F5*E5</f>
        <v>-1800</v>
      </c>
      <c r="H5">
        <v>0</v>
      </c>
      <c r="L5">
        <v>0</v>
      </c>
    </row>
    <row r="6" spans="1:14" x14ac:dyDescent="0.2">
      <c r="A6">
        <v>2</v>
      </c>
      <c r="B6" t="s">
        <v>11</v>
      </c>
      <c r="C6" t="s">
        <v>8</v>
      </c>
      <c r="D6" t="s">
        <v>7</v>
      </c>
      <c r="E6" s="1">
        <f>-1</f>
        <v>-1</v>
      </c>
      <c r="H6">
        <v>1</v>
      </c>
      <c r="I6" t="s">
        <v>19</v>
      </c>
      <c r="J6" t="s">
        <v>19</v>
      </c>
      <c r="K6">
        <v>1.2</v>
      </c>
      <c r="L6">
        <v>0.5</v>
      </c>
    </row>
    <row r="7" spans="1:14" x14ac:dyDescent="0.2">
      <c r="A7">
        <v>3</v>
      </c>
      <c r="B7" t="s">
        <v>12</v>
      </c>
      <c r="C7" t="s">
        <v>9</v>
      </c>
      <c r="D7" t="s">
        <v>7</v>
      </c>
      <c r="E7">
        <v>0</v>
      </c>
      <c r="H7">
        <v>2</v>
      </c>
      <c r="I7" t="s">
        <v>20</v>
      </c>
      <c r="J7" t="s">
        <v>22</v>
      </c>
      <c r="K7">
        <v>1.2</v>
      </c>
      <c r="L7">
        <v>0.25</v>
      </c>
    </row>
    <row r="8" spans="1:14" x14ac:dyDescent="0.2">
      <c r="A8">
        <v>4</v>
      </c>
      <c r="B8" t="s">
        <v>13</v>
      </c>
      <c r="C8" t="s">
        <v>15</v>
      </c>
      <c r="D8" t="s">
        <v>7</v>
      </c>
      <c r="E8" s="2">
        <v>1</v>
      </c>
      <c r="H8">
        <v>3</v>
      </c>
      <c r="I8" t="s">
        <v>20</v>
      </c>
      <c r="J8" t="s">
        <v>21</v>
      </c>
      <c r="K8" t="s">
        <v>23</v>
      </c>
      <c r="L8">
        <v>0.75</v>
      </c>
    </row>
    <row r="9" spans="1:14" x14ac:dyDescent="0.2">
      <c r="A9">
        <v>5</v>
      </c>
      <c r="B9" t="s">
        <v>14</v>
      </c>
      <c r="C9" t="s">
        <v>16</v>
      </c>
      <c r="D9" t="s">
        <v>7</v>
      </c>
      <c r="E9" s="1">
        <v>2.5</v>
      </c>
      <c r="H9">
        <v>4</v>
      </c>
      <c r="I9" t="s">
        <v>20</v>
      </c>
      <c r="J9" t="s">
        <v>24</v>
      </c>
      <c r="K9">
        <v>3</v>
      </c>
      <c r="L9">
        <v>1.25</v>
      </c>
    </row>
    <row r="10" spans="1:14" x14ac:dyDescent="0.2">
      <c r="H10">
        <v>5</v>
      </c>
      <c r="I10" t="s">
        <v>34</v>
      </c>
      <c r="J10" t="s">
        <v>35</v>
      </c>
      <c r="K10">
        <v>5</v>
      </c>
      <c r="L10">
        <v>3</v>
      </c>
      <c r="N10">
        <f>L9*3</f>
        <v>3.75</v>
      </c>
    </row>
    <row r="11" spans="1:14" x14ac:dyDescent="0.2">
      <c r="H11">
        <v>6</v>
      </c>
      <c r="I11" t="s">
        <v>34</v>
      </c>
      <c r="J11" t="s">
        <v>38</v>
      </c>
      <c r="K11">
        <v>5</v>
      </c>
      <c r="L11">
        <v>5</v>
      </c>
    </row>
    <row r="15" spans="1:14" x14ac:dyDescent="0.2">
      <c r="A15" t="s">
        <v>25</v>
      </c>
      <c r="B15" t="s">
        <v>26</v>
      </c>
      <c r="C15" t="s">
        <v>27</v>
      </c>
      <c r="D15" t="s">
        <v>28</v>
      </c>
      <c r="E15" t="s">
        <v>30</v>
      </c>
      <c r="F15" t="s">
        <v>29</v>
      </c>
    </row>
    <row r="16" spans="1:14" x14ac:dyDescent="0.2">
      <c r="A16" s="3">
        <v>45655</v>
      </c>
      <c r="B16">
        <v>4</v>
      </c>
      <c r="C16" s="4">
        <v>0</v>
      </c>
      <c r="D16" s="4">
        <v>0.29166666666666669</v>
      </c>
      <c r="F16">
        <v>6</v>
      </c>
      <c r="H16" s="5">
        <f>IF(B16="","",_xlfn.XLOOKUP(B16,Tabelle2[Spalte1],Tabelle2[Kosten]))</f>
        <v>1</v>
      </c>
      <c r="I16" s="5">
        <f>IF(F16="",0,_xlfn.XLOOKUP(F16,Tabelle1[Spalte1],Tabelle1[Kosten]))</f>
        <v>5</v>
      </c>
      <c r="J16" s="4">
        <f t="shared" ref="J16:J25" si="0">IF(B16="","",IF(E16="",D16-C16,E16))</f>
        <v>0.29166666666666669</v>
      </c>
      <c r="K16">
        <f t="shared" ref="K16:K25" si="1">IF(B16="","",ROUNDDOWN(J16*24,0))</f>
        <v>7</v>
      </c>
      <c r="L16" s="1">
        <f t="shared" ref="L16:L25" si="2">IF(B16="","",(H16+I16)*K16)</f>
        <v>42</v>
      </c>
    </row>
    <row r="17" spans="1:12" x14ac:dyDescent="0.2">
      <c r="A17" s="3">
        <v>45655</v>
      </c>
      <c r="B17">
        <v>1</v>
      </c>
      <c r="C17" s="4">
        <v>0.29166666666666669</v>
      </c>
      <c r="D17" s="4">
        <v>0.70833333333333337</v>
      </c>
      <c r="H17" s="5">
        <f>IF(B17="","",_xlfn.XLOOKUP(B17,Tabelle2[Spalte1],Tabelle2[Kosten]))</f>
        <v>-2.5</v>
      </c>
      <c r="I17" s="5">
        <f>IF(F17="",0,_xlfn.XLOOKUP(F17,Tabelle1[Spalte1],Tabelle1[Kosten]))</f>
        <v>0</v>
      </c>
      <c r="J17" s="4">
        <f t="shared" si="0"/>
        <v>0.41666666666666669</v>
      </c>
      <c r="K17">
        <f t="shared" si="1"/>
        <v>10</v>
      </c>
      <c r="L17" s="1">
        <f t="shared" si="2"/>
        <v>-25</v>
      </c>
    </row>
    <row r="18" spans="1:12" x14ac:dyDescent="0.2">
      <c r="A18" s="3">
        <v>45655</v>
      </c>
      <c r="C18" s="4"/>
      <c r="D18" s="4"/>
      <c r="H18" s="5" t="str">
        <f>IF(B18="","",_xlfn.XLOOKUP(B18,Tabelle2[Spalte1],Tabelle2[Kosten]))</f>
        <v/>
      </c>
      <c r="I18" s="5">
        <f>IF(F18="",0,_xlfn.XLOOKUP(F18,Tabelle1[Spalte1],Tabelle1[Kosten]))</f>
        <v>0</v>
      </c>
      <c r="J18" s="4" t="str">
        <f t="shared" si="0"/>
        <v/>
      </c>
      <c r="K18" t="str">
        <f t="shared" si="1"/>
        <v/>
      </c>
      <c r="L18" s="1" t="str">
        <f t="shared" si="2"/>
        <v/>
      </c>
    </row>
    <row r="19" spans="1:12" x14ac:dyDescent="0.2">
      <c r="A19" s="3">
        <v>45655</v>
      </c>
      <c r="H19" s="5" t="str">
        <f>IF(B19="","",_xlfn.XLOOKUP(B19,Tabelle2[Spalte1],Tabelle2[Kosten]))</f>
        <v/>
      </c>
      <c r="I19" s="5">
        <f>IF(F19="",0,_xlfn.XLOOKUP(F19,Tabelle1[Spalte1],Tabelle1[Kosten]))</f>
        <v>0</v>
      </c>
      <c r="J19" s="4" t="str">
        <f t="shared" si="0"/>
        <v/>
      </c>
      <c r="K19" t="str">
        <f t="shared" si="1"/>
        <v/>
      </c>
      <c r="L19" s="1" t="str">
        <f t="shared" si="2"/>
        <v/>
      </c>
    </row>
    <row r="20" spans="1:12" x14ac:dyDescent="0.2">
      <c r="A20" s="3">
        <v>45655</v>
      </c>
      <c r="H20" s="5" t="str">
        <f>IF(B20="","",_xlfn.XLOOKUP(B20,Tabelle2[Spalte1],Tabelle2[Kosten]))</f>
        <v/>
      </c>
      <c r="I20" s="5">
        <f>IF(F20="",0,_xlfn.XLOOKUP(F20,Tabelle1[Spalte1],Tabelle1[Kosten]))</f>
        <v>0</v>
      </c>
      <c r="J20" s="4" t="str">
        <f t="shared" si="0"/>
        <v/>
      </c>
      <c r="K20" t="str">
        <f t="shared" si="1"/>
        <v/>
      </c>
      <c r="L20" s="1" t="str">
        <f t="shared" si="2"/>
        <v/>
      </c>
    </row>
    <row r="21" spans="1:12" x14ac:dyDescent="0.2">
      <c r="A21" s="3">
        <v>45655</v>
      </c>
      <c r="H21" s="5" t="str">
        <f>IF(B21="","",_xlfn.XLOOKUP(B21,Tabelle2[Spalte1],Tabelle2[Kosten]))</f>
        <v/>
      </c>
      <c r="I21" s="5">
        <f>IF(F21="",0,_xlfn.XLOOKUP(F21,Tabelle1[Spalte1],Tabelle1[Kosten]))</f>
        <v>0</v>
      </c>
      <c r="J21" s="4" t="str">
        <f t="shared" si="0"/>
        <v/>
      </c>
      <c r="K21" t="str">
        <f t="shared" si="1"/>
        <v/>
      </c>
      <c r="L21" s="1" t="str">
        <f t="shared" si="2"/>
        <v/>
      </c>
    </row>
    <row r="22" spans="1:12" x14ac:dyDescent="0.2">
      <c r="A22" s="3">
        <v>45655</v>
      </c>
      <c r="H22" s="5" t="str">
        <f>IF(B22="","",_xlfn.XLOOKUP(B22,Tabelle2[Spalte1],Tabelle2[Kosten]))</f>
        <v/>
      </c>
      <c r="I22" s="5">
        <f>IF(F22="",0,_xlfn.XLOOKUP(F22,Tabelle1[Spalte1],Tabelle1[Kosten]))</f>
        <v>0</v>
      </c>
      <c r="J22" s="4" t="str">
        <f t="shared" si="0"/>
        <v/>
      </c>
      <c r="K22" t="str">
        <f t="shared" si="1"/>
        <v/>
      </c>
      <c r="L22" s="1" t="str">
        <f t="shared" si="2"/>
        <v/>
      </c>
    </row>
    <row r="23" spans="1:12" x14ac:dyDescent="0.2">
      <c r="A23" s="3">
        <v>45655</v>
      </c>
      <c r="H23" s="5" t="str">
        <f>IF(B23="","",_xlfn.XLOOKUP(B23,Tabelle2[Spalte1],Tabelle2[Kosten]))</f>
        <v/>
      </c>
      <c r="I23" s="5">
        <f>IF(F23="",0,_xlfn.XLOOKUP(F23,Tabelle1[Spalte1],Tabelle1[Kosten]))</f>
        <v>0</v>
      </c>
      <c r="J23" s="4" t="str">
        <f t="shared" si="0"/>
        <v/>
      </c>
      <c r="K23" t="str">
        <f t="shared" si="1"/>
        <v/>
      </c>
      <c r="L23" s="1" t="str">
        <f t="shared" si="2"/>
        <v/>
      </c>
    </row>
    <row r="24" spans="1:12" x14ac:dyDescent="0.2">
      <c r="A24" s="3">
        <v>45655</v>
      </c>
      <c r="B24">
        <v>3</v>
      </c>
      <c r="C24" s="4">
        <v>0.70833333333333337</v>
      </c>
      <c r="D24" s="6">
        <v>1</v>
      </c>
      <c r="F24">
        <v>3</v>
      </c>
      <c r="H24" s="5">
        <f>IF(B24="","",_xlfn.XLOOKUP(B24,Tabelle2[Spalte1],Tabelle2[Kosten]))</f>
        <v>0</v>
      </c>
      <c r="I24" s="5">
        <f>IF(F24="",0,_xlfn.XLOOKUP(F24,Tabelle1[Spalte1],Tabelle1[Kosten]))</f>
        <v>0.75</v>
      </c>
      <c r="J24" s="4">
        <f t="shared" si="0"/>
        <v>0.29166666666666663</v>
      </c>
      <c r="K24">
        <f t="shared" si="1"/>
        <v>7</v>
      </c>
      <c r="L24" s="1">
        <f t="shared" si="2"/>
        <v>5.25</v>
      </c>
    </row>
    <row r="25" spans="1:12" x14ac:dyDescent="0.2">
      <c r="A25" s="3" t="s">
        <v>33</v>
      </c>
      <c r="B25">
        <v>1</v>
      </c>
      <c r="C25" s="4">
        <f>MAX(D16:D24)</f>
        <v>1</v>
      </c>
      <c r="D25" s="6">
        <v>1</v>
      </c>
      <c r="F25">
        <v>0</v>
      </c>
      <c r="H25" s="5">
        <f>IF(B25="","",_xlfn.XLOOKUP(B25,Tabelle2[Spalte1],Tabelle2[Kosten]))</f>
        <v>-2.5</v>
      </c>
      <c r="I25" s="5">
        <f>IF(F25="","",_xlfn.XLOOKUP(F25,Tabelle1[Spalte1],Tabelle1[Kosten]))</f>
        <v>0</v>
      </c>
      <c r="J25" s="4">
        <f t="shared" si="0"/>
        <v>0</v>
      </c>
      <c r="K25">
        <f t="shared" si="1"/>
        <v>0</v>
      </c>
      <c r="L25" s="1">
        <f t="shared" si="2"/>
        <v>0</v>
      </c>
    </row>
    <row r="27" spans="1:12" x14ac:dyDescent="0.2">
      <c r="K27" t="s">
        <v>32</v>
      </c>
      <c r="L27" s="7">
        <f>SUM(L16:L25)</f>
        <v>22.25</v>
      </c>
    </row>
    <row r="28" spans="1:12" x14ac:dyDescent="0.2">
      <c r="K28" t="s">
        <v>36</v>
      </c>
      <c r="L28" s="1">
        <f>B1/C1</f>
        <v>20</v>
      </c>
    </row>
    <row r="29" spans="1:12" x14ac:dyDescent="0.2">
      <c r="K29" t="s">
        <v>37</v>
      </c>
      <c r="L29" s="1">
        <f>IF(L27&gt;L28,L28,L27)</f>
        <v>20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Alber</dc:creator>
  <cp:lastModifiedBy>Jonas Alber</cp:lastModifiedBy>
  <dcterms:created xsi:type="dcterms:W3CDTF">2024-12-26T22:39:03Z</dcterms:created>
  <dcterms:modified xsi:type="dcterms:W3CDTF">2024-12-29T18:30:55Z</dcterms:modified>
</cp:coreProperties>
</file>